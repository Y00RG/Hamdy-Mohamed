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imon/Documents/ss64/office/"/>
    </mc:Choice>
  </mc:AlternateContent>
  <xr:revisionPtr revIDLastSave="0" documentId="13_ncr:1_{99326068-AB96-3E4B-98B3-27008754CB29}" xr6:coauthVersionLast="47" xr6:coauthVersionMax="47" xr10:uidLastSave="{00000000-0000-0000-0000-000000000000}"/>
  <bookViews>
    <workbookView xWindow="1020" yWindow="2320" windowWidth="30380" windowHeight="20440" xr2:uid="{00000000-000D-0000-FFFF-FFFF00000000}"/>
  </bookViews>
  <sheets>
    <sheet name="Lotter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C10" i="1"/>
  <c r="D10" i="1"/>
  <c r="E10" i="1"/>
  <c r="F10" i="1"/>
  <c r="G10" i="1"/>
  <c r="B8" i="1"/>
  <c r="H10" i="1"/>
  <c r="F12" i="1" l="1"/>
  <c r="D12" i="1"/>
  <c r="D4" i="1"/>
  <c r="G12" i="1"/>
  <c r="E12" i="1"/>
  <c r="B4" i="1"/>
  <c r="C4" i="1"/>
  <c r="D5" i="1"/>
  <c r="C5" i="1"/>
  <c r="C12" i="1"/>
  <c r="B5" i="1"/>
  <c r="B12" i="1"/>
  <c r="G4" i="1"/>
  <c r="G5" i="1"/>
  <c r="F4" i="1"/>
  <c r="F5" i="1"/>
  <c r="H12" i="1"/>
  <c r="E4" i="1"/>
  <c r="E5" i="1"/>
  <c r="B6" i="1" l="1"/>
  <c r="F19" i="1" s="1"/>
  <c r="B14" i="1"/>
  <c r="B7" i="1"/>
  <c r="C19" i="1" l="1"/>
  <c r="B19" i="1"/>
  <c r="E19" i="1"/>
  <c r="D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Simon Sheppard</author>
    <author>A satisfied Microsoft Office user</author>
  </authors>
  <commentList>
    <comment ref="B2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Numbers between 1 and 49</t>
        </r>
      </text>
    </comment>
    <comment ref="B17" authorId="1" shapeId="0" xr:uid="{00000000-0006-0000-0000-000002000000}">
      <text>
        <r>
          <rPr>
            <sz val="8"/>
            <color rgb="FF000000"/>
            <rFont val="Tahoma"/>
            <family val="2"/>
          </rPr>
          <t>odds 57:1</t>
        </r>
      </text>
    </comment>
    <comment ref="C17" authorId="1" shapeId="0" xr:uid="{00000000-0006-0000-0000-000003000000}">
      <text>
        <r>
          <rPr>
            <sz val="8"/>
            <color indexed="81"/>
            <rFont val="Tahoma"/>
            <family val="2"/>
          </rPr>
          <t>odds 1000:1</t>
        </r>
      </text>
    </comment>
    <comment ref="D17" authorId="1" shapeId="0" xr:uid="{00000000-0006-0000-0000-000004000000}">
      <text>
        <r>
          <rPr>
            <sz val="8"/>
            <color indexed="81"/>
            <rFont val="Tahoma"/>
            <family val="2"/>
          </rPr>
          <t>odds 55,000:1</t>
        </r>
      </text>
    </comment>
    <comment ref="E17" authorId="1" shapeId="0" xr:uid="{00000000-0006-0000-0000-000005000000}">
      <text>
        <r>
          <rPr>
            <sz val="8"/>
            <color indexed="81"/>
            <rFont val="Tahoma"/>
            <family val="2"/>
          </rPr>
          <t>odds 2,330,000:1</t>
        </r>
      </text>
    </comment>
    <comment ref="F17" authorId="1" shapeId="0" xr:uid="{00000000-0006-0000-0000-000006000000}">
      <text>
        <r>
          <rPr>
            <sz val="8"/>
            <color rgb="FF000000"/>
            <rFont val="Tahoma"/>
            <family val="2"/>
          </rPr>
          <t>odds 13,938,000:1</t>
        </r>
      </text>
    </comment>
  </commentList>
</comments>
</file>

<file path=xl/sharedStrings.xml><?xml version="1.0" encoding="utf-8"?>
<sst xmlns="http://schemas.openxmlformats.org/spreadsheetml/2006/main" count="31" uniqueCount="31">
  <si>
    <t>Numbers chosen</t>
  </si>
  <si>
    <t xml:space="preserve">Enter your numbers here: </t>
  </si>
  <si>
    <t>winner?</t>
  </si>
  <si>
    <t>winner or bonus no?</t>
  </si>
  <si>
    <t>Matches</t>
  </si>
  <si>
    <t>bonus</t>
  </si>
  <si>
    <t>(Random)</t>
  </si>
  <si>
    <t>duplicate no?</t>
  </si>
  <si>
    <t>duplicates</t>
  </si>
  <si>
    <t>Winnings</t>
  </si>
  <si>
    <t>Prizes</t>
  </si>
  <si>
    <t>3 no's</t>
  </si>
  <si>
    <t>4 no's</t>
  </si>
  <si>
    <t>5 no's</t>
  </si>
  <si>
    <t>5+bonus</t>
  </si>
  <si>
    <t>6 no's</t>
  </si>
  <si>
    <t>Betting Costs</t>
  </si>
  <si>
    <t>no's</t>
  </si>
  <si>
    <t>Lottery simulator - the winning probabilities are the same as most national lotteries.</t>
  </si>
  <si>
    <t>If your betting costs are more than the prize - then you’ve still lost!</t>
  </si>
  <si>
    <t>This spreadsheet may be freely distributed - in the hope of educating a few people about the futility of gambling.</t>
  </si>
  <si>
    <t>Simon Sheppard</t>
  </si>
  <si>
    <t>Duplicate/invalid entry?</t>
  </si>
  <si>
    <t>Each number you pick must be between 1 and 49</t>
  </si>
  <si>
    <t>This spreadsheet has protection turned on but, if you want to look at or change the code, the password is blank.</t>
  </si>
  <si>
    <t>(c) 1997-2024 SS64.com</t>
  </si>
  <si>
    <t>Matching Numbers:</t>
  </si>
  <si>
    <t>This Draw</t>
  </si>
  <si>
    <r>
      <t xml:space="preserve">To gamble for the maximum jackpot - change H21 to match </t>
    </r>
    <r>
      <rPr>
        <b/>
        <sz val="12"/>
        <rFont val="Arial"/>
        <family val="2"/>
      </rPr>
      <t>6</t>
    </r>
    <r>
      <rPr>
        <sz val="12"/>
        <rFont val="Arial"/>
        <family val="2"/>
      </rPr>
      <t xml:space="preserve"> numbers. This can be very slow so try it with 4 or 5 first.</t>
    </r>
  </si>
  <si>
    <t xml:space="preserve">If the randomly chosen draw numbers contain any duplicates, the numbers will recalculate until they are all different. </t>
  </si>
  <si>
    <t>CTRL-BREAK will cancel the macro.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</si>
</sst>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_ ;[Red]\-[$$-409]#,##0\ "/>
    <numFmt numFmtId="165" formatCode="[Red]&quot;Won&quot;;[Blue]&quot;Lose&quot;"/>
  </numFmts>
  <fonts count="15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color indexed="22"/>
      <name val="Arial"/>
      <family val="2"/>
    </font>
    <font>
      <sz val="8"/>
      <color rgb="FF000000"/>
      <name val="Tahoma"/>
      <family val="2"/>
    </font>
    <font>
      <b/>
      <sz val="8"/>
      <color rgb="FF000000"/>
      <name val="Tahoma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12"/>
      <color rgb="FF000000"/>
      <name val="Arial"/>
      <family val="2"/>
    </font>
    <font>
      <b/>
      <sz val="14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2" borderId="0" xfId="0" applyFont="1" applyFill="1"/>
    <xf numFmtId="0" fontId="0" fillId="4" borderId="0" xfId="0" applyFill="1"/>
    <xf numFmtId="0" fontId="0" fillId="5" borderId="0" xfId="0" applyFill="1"/>
    <xf numFmtId="0" fontId="1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1" fillId="5" borderId="0" xfId="0" applyFont="1" applyFill="1"/>
    <xf numFmtId="0" fontId="5" fillId="5" borderId="0" xfId="0" applyFont="1" applyFill="1"/>
    <xf numFmtId="0" fontId="4" fillId="5" borderId="0" xfId="0" applyFont="1" applyFill="1"/>
    <xf numFmtId="0" fontId="1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164" fontId="10" fillId="2" borderId="4" xfId="0" applyNumberFormat="1" applyFont="1" applyFill="1" applyBorder="1" applyAlignment="1">
      <alignment horizontal="center"/>
    </xf>
    <xf numFmtId="164" fontId="10" fillId="2" borderId="0" xfId="0" applyNumberFormat="1" applyFont="1" applyFill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165" fontId="11" fillId="2" borderId="4" xfId="0" applyNumberFormat="1" applyFont="1" applyFill="1" applyBorder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2" fillId="5" borderId="0" xfId="0" applyFont="1" applyFill="1"/>
    <xf numFmtId="0" fontId="10" fillId="5" borderId="0" xfId="0" applyFont="1" applyFill="1"/>
    <xf numFmtId="164" fontId="12" fillId="0" borderId="5" xfId="0" applyNumberFormat="1" applyFont="1" applyBorder="1" applyProtection="1">
      <protection locked="0"/>
    </xf>
    <xf numFmtId="0" fontId="12" fillId="0" borderId="5" xfId="0" applyFont="1" applyBorder="1" applyAlignment="1" applyProtection="1">
      <alignment horizontal="center" vertical="center"/>
      <protection locked="0"/>
    </xf>
    <xf numFmtId="0" fontId="10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indent="1"/>
    </xf>
    <xf numFmtId="0" fontId="1" fillId="6" borderId="0" xfId="0" applyFont="1" applyFill="1"/>
    <xf numFmtId="0" fontId="3" fillId="2" borderId="0" xfId="0" applyFont="1" applyFill="1" applyAlignment="1">
      <alignment horizontal="center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0" fillId="4" borderId="0" xfId="0" applyFont="1" applyFill="1"/>
    <xf numFmtId="0" fontId="12" fillId="4" borderId="0" xfId="0" applyFont="1" applyFill="1"/>
    <xf numFmtId="0" fontId="10" fillId="0" borderId="0" xfId="0" applyFont="1"/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19</xdr:row>
          <xdr:rowOff>165100</xdr:rowOff>
        </xdr:from>
        <xdr:to>
          <xdr:col>5</xdr:col>
          <xdr:colOff>812800</xdr:colOff>
          <xdr:row>20</xdr:row>
          <xdr:rowOff>330200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Auto Bet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165100</xdr:rowOff>
        </xdr:from>
        <xdr:to>
          <xdr:col>3</xdr:col>
          <xdr:colOff>139700</xdr:colOff>
          <xdr:row>21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Bet $1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"/>
  <sheetViews>
    <sheetView tabSelected="1" zoomScale="110" zoomScaleNormal="110" workbookViewId="0">
      <selection activeCell="A24" sqref="A24"/>
    </sheetView>
  </sheetViews>
  <sheetFormatPr baseColWidth="10" defaultColWidth="8.83203125" defaultRowHeight="13" x14ac:dyDescent="0.15"/>
  <cols>
    <col min="1" max="1" width="32.5" customWidth="1"/>
    <col min="2" max="2" width="11.1640625" customWidth="1"/>
    <col min="3" max="5" width="10.83203125" customWidth="1"/>
    <col min="6" max="6" width="11.6640625" customWidth="1"/>
    <col min="7" max="7" width="7.6640625" customWidth="1"/>
    <col min="8" max="8" width="11" customWidth="1"/>
    <col min="9" max="9" width="4.83203125" customWidth="1"/>
  </cols>
  <sheetData>
    <row r="1" spans="1:9" ht="19" thickBot="1" x14ac:dyDescent="0.25">
      <c r="A1" s="24" t="s">
        <v>0</v>
      </c>
      <c r="B1" s="5"/>
      <c r="C1" s="5"/>
      <c r="D1" s="5"/>
      <c r="E1" s="5"/>
      <c r="F1" s="5"/>
      <c r="G1" s="5"/>
      <c r="H1" s="5"/>
      <c r="I1" s="5"/>
    </row>
    <row r="2" spans="1:9" ht="17" thickBot="1" x14ac:dyDescent="0.25">
      <c r="A2" s="12" t="s">
        <v>1</v>
      </c>
      <c r="B2" s="27">
        <v>1</v>
      </c>
      <c r="C2" s="28">
        <v>4</v>
      </c>
      <c r="D2" s="28">
        <v>27</v>
      </c>
      <c r="E2" s="28">
        <v>33</v>
      </c>
      <c r="F2" s="28">
        <v>38</v>
      </c>
      <c r="G2" s="29">
        <v>49</v>
      </c>
      <c r="H2" s="5"/>
      <c r="I2" s="5"/>
    </row>
    <row r="3" spans="1:9" ht="16" x14ac:dyDescent="0.2">
      <c r="A3" s="20"/>
      <c r="B3" s="5"/>
      <c r="C3" s="5"/>
      <c r="D3" s="5"/>
      <c r="E3" s="5"/>
      <c r="F3" s="5"/>
      <c r="G3" s="5"/>
      <c r="H3" s="5"/>
      <c r="I3" s="5"/>
    </row>
    <row r="4" spans="1:9" ht="16" x14ac:dyDescent="0.2">
      <c r="A4" s="12" t="s">
        <v>2</v>
      </c>
      <c r="B4" s="25" t="b">
        <f t="shared" ref="B4:G4" ca="1" si="0">OR(B2=$B$10,B2=$C$10,B2=$D$10,B2=$E$10,B2=$F$10,B2=$G$10)</f>
        <v>0</v>
      </c>
      <c r="C4" s="25" t="b">
        <f t="shared" ca="1" si="0"/>
        <v>0</v>
      </c>
      <c r="D4" s="25" t="b">
        <f t="shared" ca="1" si="0"/>
        <v>0</v>
      </c>
      <c r="E4" s="25" t="b">
        <f t="shared" ca="1" si="0"/>
        <v>0</v>
      </c>
      <c r="F4" s="25" t="b">
        <f t="shared" ca="1" si="0"/>
        <v>0</v>
      </c>
      <c r="G4" s="25" t="b">
        <f t="shared" ca="1" si="0"/>
        <v>1</v>
      </c>
      <c r="H4" s="5"/>
      <c r="I4" s="5"/>
    </row>
    <row r="5" spans="1:9" ht="16" x14ac:dyDescent="0.2">
      <c r="A5" s="12" t="s">
        <v>3</v>
      </c>
      <c r="B5" s="25" t="b">
        <f t="shared" ref="B5:G5" ca="1" si="1">OR(B2=$B$10,B2=$C$10,B2=$D$10,B2=$E$10,B2=$F$10,B2=$G$10,B2=$H$10)</f>
        <v>0</v>
      </c>
      <c r="C5" s="25" t="b">
        <f t="shared" ca="1" si="1"/>
        <v>0</v>
      </c>
      <c r="D5" s="25" t="b">
        <f t="shared" ca="1" si="1"/>
        <v>0</v>
      </c>
      <c r="E5" s="25" t="b">
        <f t="shared" ca="1" si="1"/>
        <v>0</v>
      </c>
      <c r="F5" s="25" t="b">
        <f t="shared" ca="1" si="1"/>
        <v>0</v>
      </c>
      <c r="G5" s="25" t="b">
        <f t="shared" ca="1" si="1"/>
        <v>1</v>
      </c>
      <c r="H5" s="5"/>
      <c r="I5" s="5"/>
    </row>
    <row r="6" spans="1:9" ht="16" x14ac:dyDescent="0.2">
      <c r="A6" s="12" t="s">
        <v>26</v>
      </c>
      <c r="B6" s="26">
        <f ca="1">$B$4+$C$4+$D$4+$E$4+$F$4+$G$4</f>
        <v>1</v>
      </c>
      <c r="C6" s="11" t="s">
        <v>4</v>
      </c>
      <c r="D6" s="8"/>
      <c r="E6" s="8"/>
      <c r="F6" s="8"/>
      <c r="G6" s="8"/>
      <c r="H6" s="5"/>
      <c r="I6" s="5"/>
    </row>
    <row r="7" spans="1:9" ht="16" x14ac:dyDescent="0.2">
      <c r="A7" s="20"/>
      <c r="B7" s="7">
        <f ca="1">B5+C5+D5+E5+F5+G5</f>
        <v>1</v>
      </c>
      <c r="C7" s="8"/>
      <c r="D7" s="8"/>
      <c r="E7" s="8"/>
      <c r="F7" s="8"/>
      <c r="G7" s="8"/>
      <c r="H7" s="5"/>
      <c r="I7" s="5"/>
    </row>
    <row r="8" spans="1:9" ht="16" x14ac:dyDescent="0.2">
      <c r="A8" s="12" t="s">
        <v>22</v>
      </c>
      <c r="B8" s="8" t="b">
        <f>OR(B2=C2,C2=D2,D2=E2,E2=F2,F2=G2,B2=G2)</f>
        <v>0</v>
      </c>
      <c r="C8" s="8"/>
      <c r="D8" s="8"/>
      <c r="E8" s="8"/>
      <c r="F8" s="8"/>
      <c r="G8" s="8"/>
      <c r="H8" s="5"/>
      <c r="I8" s="5"/>
    </row>
    <row r="9" spans="1:9" ht="18" x14ac:dyDescent="0.2">
      <c r="A9" s="24" t="s">
        <v>27</v>
      </c>
      <c r="B9" s="5"/>
      <c r="C9" s="5"/>
      <c r="D9" s="5"/>
      <c r="E9" s="5"/>
      <c r="F9" s="5"/>
      <c r="G9" s="5"/>
      <c r="H9" s="33" t="s">
        <v>5</v>
      </c>
      <c r="I9" s="5"/>
    </row>
    <row r="10" spans="1:9" ht="16" x14ac:dyDescent="0.2">
      <c r="A10" s="12" t="s">
        <v>6</v>
      </c>
      <c r="B10" s="1">
        <f t="shared" ref="B10:H10" ca="1" si="2">INT(RAND()*49)+1</f>
        <v>28</v>
      </c>
      <c r="C10" s="1">
        <f t="shared" ca="1" si="2"/>
        <v>30</v>
      </c>
      <c r="D10" s="1">
        <f t="shared" ca="1" si="2"/>
        <v>26</v>
      </c>
      <c r="E10" s="1">
        <f t="shared" ca="1" si="2"/>
        <v>10</v>
      </c>
      <c r="F10" s="1">
        <f t="shared" ca="1" si="2"/>
        <v>49</v>
      </c>
      <c r="G10" s="1">
        <f t="shared" ca="1" si="2"/>
        <v>47</v>
      </c>
      <c r="H10" s="2">
        <f t="shared" ca="1" si="2"/>
        <v>11</v>
      </c>
      <c r="I10" s="5"/>
    </row>
    <row r="11" spans="1:9" ht="16" x14ac:dyDescent="0.2">
      <c r="A11" s="20"/>
      <c r="B11" s="5"/>
      <c r="C11" s="5"/>
      <c r="D11" s="5"/>
      <c r="E11" s="5"/>
      <c r="F11" s="5"/>
      <c r="G11" s="5"/>
      <c r="H11" s="5"/>
      <c r="I11" s="5"/>
    </row>
    <row r="12" spans="1:9" ht="16" x14ac:dyDescent="0.2">
      <c r="A12" s="12" t="s">
        <v>7</v>
      </c>
      <c r="B12" s="8" t="b">
        <f ca="1">OR(B10=$C$10,B10=$D$10,B10=$E$10,B10=$F$10,B10=$G$10,B10=H10)</f>
        <v>0</v>
      </c>
      <c r="C12" s="8" t="b">
        <f ca="1">OR(C10=$B$10,C10=$D$10,C10=$E$10,C10=$F$10,C10=$G$10,C10=H10)</f>
        <v>0</v>
      </c>
      <c r="D12" s="8" t="b">
        <f ca="1">OR(D10=$C$10,D10=$B$10,D10=$E$10,D10=$F$10,D10=$G$10,D10=H10)</f>
        <v>0</v>
      </c>
      <c r="E12" s="8" t="b">
        <f ca="1">OR(E10=$C$10,E10=$D$10,E10=$B$10,E10=$F$10,E10=$G$10,E10=H10)</f>
        <v>0</v>
      </c>
      <c r="F12" s="8" t="b">
        <f ca="1">OR(F10=$C$10,F10=$D$10,F10=$E$10,F10=$B$10,F10=$G$10,F10=H10)</f>
        <v>0</v>
      </c>
      <c r="G12" s="8" t="b">
        <f ca="1">OR(G10=$C$10,G10=$D$10,G10=$E$10,G10=$F$10,G10=$B$10,G10=H10)</f>
        <v>0</v>
      </c>
      <c r="H12" s="8" t="b">
        <f ca="1">OR(H10=$C$10,H10=$D$10,H10=$E$10,H10=$F$10,H10=$B$10,H10=G10)</f>
        <v>0</v>
      </c>
      <c r="I12" s="5"/>
    </row>
    <row r="13" spans="1:9" ht="16" x14ac:dyDescent="0.2">
      <c r="A13" s="20"/>
      <c r="B13" s="9"/>
      <c r="C13" s="9"/>
      <c r="D13" s="9"/>
      <c r="E13" s="9"/>
      <c r="F13" s="9"/>
      <c r="G13" s="9"/>
      <c r="H13" s="5"/>
      <c r="I13" s="5"/>
    </row>
    <row r="14" spans="1:9" ht="16" x14ac:dyDescent="0.2">
      <c r="A14" s="20"/>
      <c r="B14" s="3">
        <f ca="1">B12+C12+D12+E12+F12+G12</f>
        <v>0</v>
      </c>
      <c r="C14" s="3" t="s">
        <v>8</v>
      </c>
      <c r="D14" s="9"/>
      <c r="E14" s="9"/>
      <c r="F14" s="9"/>
      <c r="G14" s="9"/>
      <c r="H14" s="5"/>
      <c r="I14" s="5"/>
    </row>
    <row r="15" spans="1:9" ht="16" x14ac:dyDescent="0.2">
      <c r="A15" s="20"/>
      <c r="B15" s="5"/>
      <c r="C15" s="5"/>
      <c r="D15" s="5"/>
      <c r="E15" s="5"/>
      <c r="F15" s="5"/>
      <c r="G15" s="5"/>
      <c r="H15" s="10"/>
      <c r="I15" s="5"/>
    </row>
    <row r="16" spans="1:9" ht="18" x14ac:dyDescent="0.2">
      <c r="A16" s="24" t="s">
        <v>9</v>
      </c>
      <c r="B16" s="5"/>
      <c r="C16" s="5"/>
      <c r="D16" s="5"/>
      <c r="E16" s="5"/>
      <c r="F16" s="5"/>
      <c r="G16" s="5"/>
      <c r="H16" s="5"/>
      <c r="I16" s="5"/>
    </row>
    <row r="17" spans="1:9" ht="16" x14ac:dyDescent="0.2">
      <c r="A17" s="12" t="s">
        <v>10</v>
      </c>
      <c r="B17" s="13">
        <v>10</v>
      </c>
      <c r="C17" s="14">
        <v>62</v>
      </c>
      <c r="D17" s="13">
        <v>1500</v>
      </c>
      <c r="E17" s="14">
        <v>100000</v>
      </c>
      <c r="F17" s="13">
        <v>2000000</v>
      </c>
      <c r="G17" s="5"/>
      <c r="H17" s="5"/>
      <c r="I17" s="5"/>
    </row>
    <row r="18" spans="1:9" ht="17" thickBot="1" x14ac:dyDescent="0.25">
      <c r="A18" s="6"/>
      <c r="B18" s="15" t="s">
        <v>11</v>
      </c>
      <c r="C18" s="16" t="s">
        <v>12</v>
      </c>
      <c r="D18" s="15" t="s">
        <v>13</v>
      </c>
      <c r="E18" s="16" t="s">
        <v>14</v>
      </c>
      <c r="F18" s="15" t="s">
        <v>15</v>
      </c>
      <c r="G18" s="5"/>
      <c r="H18" s="19" t="s">
        <v>16</v>
      </c>
      <c r="I18" s="20"/>
    </row>
    <row r="19" spans="1:9" ht="17" thickBot="1" x14ac:dyDescent="0.25">
      <c r="A19" s="6"/>
      <c r="B19" s="17">
        <f ca="1">IF(B8=FALSE,(IF(B6=3,1,-1)),-1)</f>
        <v>-1</v>
      </c>
      <c r="C19" s="18">
        <f ca="1">IF(B8=FALSE,IF(B6=4,1,-1),-1)</f>
        <v>-1</v>
      </c>
      <c r="D19" s="17">
        <f ca="1">IF(B8=FALSE,IF(B6=5,1,-1),-1)</f>
        <v>-1</v>
      </c>
      <c r="E19" s="18">
        <f ca="1">IF(B8=FALSE,IF(B6+H12=6,1,-1),-1)</f>
        <v>-1</v>
      </c>
      <c r="F19" s="17">
        <f ca="1">IF(B8=FALSE,IF(B6=6,1,-1),-1)</f>
        <v>-1</v>
      </c>
      <c r="G19" s="5"/>
      <c r="H19" s="21">
        <v>0</v>
      </c>
      <c r="I19" s="20"/>
    </row>
    <row r="20" spans="1:9" ht="17" thickBot="1" x14ac:dyDescent="0.25">
      <c r="A20" s="5"/>
      <c r="B20" s="5"/>
      <c r="C20" s="5"/>
      <c r="D20" s="5"/>
      <c r="E20" s="5"/>
      <c r="F20" s="5"/>
      <c r="G20" s="5"/>
      <c r="H20" s="20"/>
      <c r="I20" s="20"/>
    </row>
    <row r="21" spans="1:9" ht="26.25" customHeight="1" thickBot="1" x14ac:dyDescent="0.2">
      <c r="A21" s="5"/>
      <c r="B21" s="5"/>
      <c r="C21" s="5"/>
      <c r="D21" s="5"/>
      <c r="E21" s="5"/>
      <c r="F21" s="5"/>
      <c r="G21" s="5"/>
      <c r="H21" s="22">
        <v>3</v>
      </c>
      <c r="I21" s="23" t="s">
        <v>17</v>
      </c>
    </row>
    <row r="22" spans="1:9" x14ac:dyDescent="0.15">
      <c r="A22" s="5"/>
      <c r="B22" s="5"/>
      <c r="C22" s="5"/>
      <c r="D22" s="5"/>
      <c r="E22" s="5"/>
      <c r="F22" s="5"/>
      <c r="G22" s="5"/>
      <c r="H22" s="5"/>
      <c r="I22" s="5"/>
    </row>
    <row r="24" spans="1:9" ht="16" x14ac:dyDescent="0.2">
      <c r="A24" s="30" t="s">
        <v>18</v>
      </c>
      <c r="B24" s="4"/>
      <c r="C24" s="4"/>
      <c r="D24" s="4"/>
      <c r="E24" s="4"/>
      <c r="F24" s="4"/>
      <c r="G24" s="4"/>
      <c r="H24" s="4"/>
      <c r="I24" s="4"/>
    </row>
    <row r="25" spans="1:9" ht="16" x14ac:dyDescent="0.2">
      <c r="A25" s="30" t="s">
        <v>23</v>
      </c>
      <c r="B25" s="4"/>
      <c r="C25" s="4"/>
      <c r="D25" s="4"/>
      <c r="E25" s="4"/>
      <c r="F25" s="4"/>
      <c r="G25" s="4"/>
      <c r="H25" s="4"/>
      <c r="I25" s="4"/>
    </row>
    <row r="26" spans="1:9" ht="16" x14ac:dyDescent="0.2">
      <c r="A26" s="30" t="s">
        <v>28</v>
      </c>
      <c r="B26" s="4"/>
      <c r="C26" s="4"/>
      <c r="D26" s="4"/>
      <c r="E26" s="4"/>
      <c r="F26" s="4"/>
      <c r="G26" s="4"/>
      <c r="H26" s="4"/>
      <c r="I26" s="4"/>
    </row>
    <row r="27" spans="1:9" ht="16" x14ac:dyDescent="0.2">
      <c r="A27" s="30" t="s">
        <v>30</v>
      </c>
      <c r="B27" s="4"/>
      <c r="C27" s="4"/>
      <c r="D27" s="4"/>
      <c r="E27" s="4"/>
      <c r="F27" s="4"/>
      <c r="G27" s="4"/>
      <c r="H27" s="4"/>
      <c r="I27" s="4"/>
    </row>
    <row r="28" spans="1:9" ht="16" x14ac:dyDescent="0.2">
      <c r="A28" s="30" t="s">
        <v>29</v>
      </c>
      <c r="B28" s="4"/>
      <c r="C28" s="4"/>
      <c r="D28" s="4"/>
      <c r="E28" s="4"/>
      <c r="F28" s="4"/>
      <c r="G28" s="4"/>
      <c r="H28" s="4"/>
      <c r="I28" s="4"/>
    </row>
    <row r="29" spans="1:9" ht="16" x14ac:dyDescent="0.2">
      <c r="A29" s="30"/>
      <c r="B29" s="4"/>
      <c r="C29" s="4"/>
      <c r="D29" s="4"/>
      <c r="E29" s="4"/>
      <c r="F29" s="4"/>
      <c r="G29" s="4"/>
      <c r="H29" s="4"/>
      <c r="I29" s="4"/>
    </row>
    <row r="30" spans="1:9" ht="16" x14ac:dyDescent="0.2">
      <c r="A30" s="31" t="s">
        <v>19</v>
      </c>
      <c r="B30" s="4"/>
      <c r="C30" s="4"/>
      <c r="D30" s="4"/>
      <c r="E30" s="4"/>
      <c r="F30" s="4"/>
      <c r="G30" s="4"/>
      <c r="H30" s="4"/>
      <c r="I30" s="4"/>
    </row>
    <row r="31" spans="1:9" ht="16" x14ac:dyDescent="0.2">
      <c r="A31" s="31"/>
      <c r="B31" s="4"/>
      <c r="C31" s="4"/>
      <c r="D31" s="4"/>
      <c r="E31" s="4"/>
      <c r="F31" s="4"/>
      <c r="G31" s="4"/>
      <c r="H31" s="4"/>
      <c r="I31" s="4"/>
    </row>
    <row r="32" spans="1:9" ht="16" x14ac:dyDescent="0.2">
      <c r="A32" s="30" t="s">
        <v>20</v>
      </c>
      <c r="B32" s="4"/>
      <c r="C32" s="4"/>
      <c r="D32" s="4"/>
      <c r="E32" s="4"/>
      <c r="F32" s="4"/>
      <c r="G32" s="4"/>
      <c r="H32" s="4"/>
      <c r="I32" s="4"/>
    </row>
    <row r="33" spans="1:9" ht="16" x14ac:dyDescent="0.2">
      <c r="A33" s="30"/>
      <c r="B33" s="4"/>
      <c r="C33" s="4"/>
      <c r="D33" s="4"/>
      <c r="E33" s="4"/>
      <c r="F33" s="4"/>
      <c r="G33" s="4"/>
      <c r="H33" s="4"/>
      <c r="I33" s="4"/>
    </row>
    <row r="34" spans="1:9" ht="16" x14ac:dyDescent="0.2">
      <c r="A34" s="30" t="s">
        <v>21</v>
      </c>
      <c r="B34" s="4"/>
      <c r="C34" s="4"/>
      <c r="D34" s="4"/>
      <c r="E34" s="4"/>
      <c r="F34" s="4"/>
      <c r="G34" s="4"/>
      <c r="H34" s="4"/>
      <c r="I34" s="4"/>
    </row>
    <row r="35" spans="1:9" ht="16" x14ac:dyDescent="0.2">
      <c r="A35" s="30" t="s">
        <v>25</v>
      </c>
      <c r="B35" s="4"/>
      <c r="C35" s="4"/>
      <c r="D35" s="4"/>
      <c r="E35" s="4"/>
      <c r="F35" s="4"/>
      <c r="G35" s="4"/>
      <c r="H35" s="4"/>
      <c r="I35" s="4"/>
    </row>
    <row r="36" spans="1:9" x14ac:dyDescent="0.15">
      <c r="A36" s="4"/>
      <c r="B36" s="4"/>
      <c r="C36" s="4"/>
      <c r="D36" s="4"/>
      <c r="E36" s="4"/>
      <c r="F36" s="4"/>
      <c r="G36" s="4"/>
      <c r="H36" s="4"/>
      <c r="I36" s="4"/>
    </row>
    <row r="42" spans="1:9" ht="16" x14ac:dyDescent="0.2">
      <c r="A42" s="32" t="s">
        <v>24</v>
      </c>
    </row>
  </sheetData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Line="0" autoPict="0" macro="[0]!to_win">
                <anchor moveWithCells="1" sizeWithCells="1">
                  <from>
                    <xdr:col>4</xdr:col>
                    <xdr:colOff>38100</xdr:colOff>
                    <xdr:row>19</xdr:row>
                    <xdr:rowOff>165100</xdr:rowOff>
                  </from>
                  <to>
                    <xdr:col>5</xdr:col>
                    <xdr:colOff>812800</xdr:colOff>
                    <xdr:row>20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Line="0" autoPict="0" macro="[0]!refresh">
                <anchor moveWithCells="1" sizeWithCells="1">
                  <from>
                    <xdr:col>1</xdr:col>
                    <xdr:colOff>12700</xdr:colOff>
                    <xdr:row>19</xdr:row>
                    <xdr:rowOff>165100</xdr:rowOff>
                  </from>
                  <to>
                    <xdr:col>3</xdr:col>
                    <xdr:colOff>139700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Lottery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Sheppard</dc:creator>
  <cp:keywords/>
  <dc:description/>
  <cp:lastModifiedBy>Simon Sheppard</cp:lastModifiedBy>
  <dcterms:created xsi:type="dcterms:W3CDTF">2003-01-19T23:03:13Z</dcterms:created>
  <dcterms:modified xsi:type="dcterms:W3CDTF">2024-04-25T11:04:10Z</dcterms:modified>
  <cp:category/>
</cp:coreProperties>
</file>