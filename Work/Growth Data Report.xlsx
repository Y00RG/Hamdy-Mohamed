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B53F757-68E5-46CE-96A6-1D5B554A82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F8" i="1"/>
  <c r="C8" i="1"/>
  <c r="C16" i="1" s="1"/>
  <c r="D16" i="1" l="1"/>
</calcChain>
</file>

<file path=xl/sharedStrings.xml><?xml version="1.0" encoding="utf-8"?>
<sst xmlns="http://schemas.openxmlformats.org/spreadsheetml/2006/main" count="10" uniqueCount="10">
  <si>
    <t>Year</t>
  </si>
  <si>
    <t>Total</t>
  </si>
  <si>
    <t>Assets Files</t>
  </si>
  <si>
    <t>Assets Amount</t>
  </si>
  <si>
    <t>LME Files</t>
  </si>
  <si>
    <t>MCF Files</t>
  </si>
  <si>
    <t>LME Amount</t>
  </si>
  <si>
    <t>MCF Amount</t>
  </si>
  <si>
    <t>5 Years Total</t>
  </si>
  <si>
    <t>2026(till 30-July)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</si>
</sst>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EGP]\ #,##0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2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500" b="1" i="0" baseline="0"/>
              <a:t>Growth Data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202809757482579E-2"/>
          <c:y val="7.9568839596588711E-2"/>
          <c:w val="0.92927269979287175"/>
          <c:h val="0.768588366092666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LME Files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2026(till 30-July)</c:v>
                </c:pt>
              </c:strCache>
            </c:strRef>
          </c:cat>
          <c:val>
            <c:numRef>
              <c:f>Sheet1!$C$3:$C$7</c:f>
              <c:numCache>
                <c:formatCode>_(* #,##0_);_(* \(#,##0\);_(* "-"??_);_(@_)</c:formatCode>
                <c:ptCount val="5"/>
                <c:pt idx="0">
                  <c:v>14203</c:v>
                </c:pt>
                <c:pt idx="1">
                  <c:v>14756</c:v>
                </c:pt>
                <c:pt idx="2">
                  <c:v>12428</c:v>
                </c:pt>
                <c:pt idx="3">
                  <c:v>12432</c:v>
                </c:pt>
                <c:pt idx="4">
                  <c:v>6589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0-4BC6-B509-F2A4376F6816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LME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2026(till 30-July)</c:v>
                </c:pt>
              </c:strCache>
            </c:strRef>
          </c:cat>
          <c:val>
            <c:numRef>
              <c:f>Sheet1!$D$3:$D$7</c:f>
              <c:numCache>
                <c:formatCode>[$EGP]\ #,##0</c:formatCode>
                <c:ptCount val="5"/>
                <c:pt idx="0">
                  <c:v>7674227806</c:v>
                </c:pt>
                <c:pt idx="1">
                  <c:v>8515308258</c:v>
                </c:pt>
                <c:pt idx="2">
                  <c:v>11743275537.309999</c:v>
                </c:pt>
                <c:pt idx="3">
                  <c:v>15880450100.945997</c:v>
                </c:pt>
                <c:pt idx="4">
                  <c:v>9924090782.0800018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A0-4BC6-B509-F2A4376F6816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MCF Files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2026(till 30-July)</c:v>
                </c:pt>
              </c:strCache>
            </c:strRef>
          </c:cat>
          <c:val>
            <c:numRef>
              <c:f>Sheet1!$E$3:$E$7</c:f>
              <c:numCache>
                <c:formatCode>_(* #,##0_);_(* \(#,##0\);_(* "-"??_);_(@_)</c:formatCode>
                <c:ptCount val="5"/>
                <c:pt idx="0">
                  <c:v>6496</c:v>
                </c:pt>
                <c:pt idx="1">
                  <c:v>5170</c:v>
                </c:pt>
                <c:pt idx="2">
                  <c:v>8110</c:v>
                </c:pt>
                <c:pt idx="3">
                  <c:v>22704</c:v>
                </c:pt>
                <c:pt idx="4">
                  <c:v>17641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A0-4BC6-B509-F2A4376F6816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MCF Amount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Sheet1!$B$3:$B$7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2026(till 30-July)</c:v>
                </c:pt>
              </c:strCache>
            </c:strRef>
          </c:cat>
          <c:val>
            <c:numRef>
              <c:f>Sheet1!$F$3:$F$7</c:f>
              <c:numCache>
                <c:formatCode>[$EGP]\ #,##0</c:formatCode>
                <c:ptCount val="5"/>
                <c:pt idx="0">
                  <c:v>1559758038</c:v>
                </c:pt>
                <c:pt idx="1">
                  <c:v>4162810940</c:v>
                </c:pt>
                <c:pt idx="2">
                  <c:v>7657609287</c:v>
                </c:pt>
                <c:pt idx="3">
                  <c:v>17578741480</c:v>
                </c:pt>
                <c:pt idx="4">
                  <c:v>12645144670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A0-4BC6-B509-F2A4376F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5901631"/>
        <c:axId val="825902591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Sheet1!$B$3:$B$7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2026(till 30-July)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1A0-4BC6-B509-F2A4376F681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Sheet1!$B$3:$B$7</c15:sqref>
                        </c15:formulaRef>
                      </c:ext>
                    </c:extLst>
                    <c:strCache>
                      <c:ptCount val="5"/>
                      <c:pt idx="0">
                        <c:v>2022</c:v>
                      </c:pt>
                      <c:pt idx="1">
                        <c:v>2023</c:v>
                      </c:pt>
                      <c:pt idx="2">
                        <c:v>2024</c:v>
                      </c:pt>
                      <c:pt idx="3">
                        <c:v>2025</c:v>
                      </c:pt>
                      <c:pt idx="4">
                        <c:v>2026(till 30-July)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1A0-4BC6-B509-F2A4376F6816}"/>
                  </c:ext>
                </c:extLst>
              </c15:ser>
            </c15:filteredBarSeries>
          </c:ext>
        </c:extLst>
      </c:barChart>
      <c:catAx>
        <c:axId val="82590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02591"/>
        <c:crosses val="autoZero"/>
        <c:auto val="1"/>
        <c:lblAlgn val="ctr"/>
        <c:lblOffset val="100"/>
        <c:noMultiLvlLbl val="0"/>
      </c:catAx>
      <c:valAx>
        <c:axId val="8259025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590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16807</xdr:colOff>
      <xdr:row>0</xdr:row>
      <xdr:rowOff>264458</xdr:rowOff>
    </xdr:from>
    <xdr:to>
      <xdr:col>23</xdr:col>
      <xdr:colOff>25614</xdr:colOff>
      <xdr:row>25</xdr:row>
      <xdr:rowOff>11206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0CD5A7C-0EE4-1E8E-23FA-DA3C5696AD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2"/>
  <sheetViews>
    <sheetView tabSelected="1" zoomScaleNormal="100" workbookViewId="0">
      <selection activeCell="F11" sqref="F11"/>
    </sheetView>
  </sheetViews>
  <sheetFormatPr defaultRowHeight="21" x14ac:dyDescent="0.25"/>
  <cols>
    <col min="1" max="1" width="1.5703125" style="1" customWidth="1"/>
    <col min="2" max="2" width="22.5703125" style="1" bestFit="1" customWidth="1"/>
    <col min="3" max="3" width="18" style="1" bestFit="1" customWidth="1"/>
    <col min="4" max="4" width="26.85546875" style="1" bestFit="1" customWidth="1"/>
    <col min="5" max="5" width="15" style="1" bestFit="1" customWidth="1"/>
    <col min="6" max="6" width="26.85546875" style="1" bestFit="1" customWidth="1"/>
    <col min="7" max="7" width="2.7109375" style="1" customWidth="1"/>
    <col min="8" max="22" width="9.140625" style="1"/>
    <col min="23" max="23" width="10.7109375" style="1" bestFit="1" customWidth="1"/>
    <col min="24" max="24" width="25.28515625" style="1" bestFit="1" customWidth="1"/>
    <col min="25" max="16384" width="9.140625" style="1"/>
  </cols>
  <sheetData>
    <row r="1" spans="2:6" ht="21.75" thickBot="1" x14ac:dyDescent="0.3"/>
    <row r="2" spans="2:6" ht="24" thickBot="1" x14ac:dyDescent="0.3">
      <c r="B2" s="8" t="s">
        <v>0</v>
      </c>
      <c r="C2" s="8" t="s">
        <v>4</v>
      </c>
      <c r="D2" s="8" t="s">
        <v>6</v>
      </c>
      <c r="E2" s="8" t="s">
        <v>5</v>
      </c>
      <c r="F2" s="8" t="s">
        <v>7</v>
      </c>
    </row>
    <row r="3" spans="2:6" x14ac:dyDescent="0.25">
      <c r="B3" s="9">
        <v>2022</v>
      </c>
      <c r="C3" s="10">
        <v>14203</v>
      </c>
      <c r="D3" s="6">
        <v>7674227806</v>
      </c>
      <c r="E3" s="10">
        <v>6496</v>
      </c>
      <c r="F3" s="6">
        <v>1559758038</v>
      </c>
    </row>
    <row r="4" spans="2:6" x14ac:dyDescent="0.25">
      <c r="B4" s="2">
        <v>2023</v>
      </c>
      <c r="C4" s="10">
        <v>14756</v>
      </c>
      <c r="D4" s="6">
        <v>8515308258</v>
      </c>
      <c r="E4" s="10">
        <v>5170</v>
      </c>
      <c r="F4" s="6">
        <v>4162810940</v>
      </c>
    </row>
    <row r="5" spans="2:6" x14ac:dyDescent="0.25">
      <c r="B5" s="2">
        <v>2024</v>
      </c>
      <c r="C5" s="10">
        <v>12428</v>
      </c>
      <c r="D5" s="6">
        <v>11743275537.309999</v>
      </c>
      <c r="E5" s="10">
        <v>8110</v>
      </c>
      <c r="F5" s="6">
        <v>7657609287</v>
      </c>
    </row>
    <row r="6" spans="2:6" x14ac:dyDescent="0.25">
      <c r="B6" s="2">
        <v>2025</v>
      </c>
      <c r="C6" s="10">
        <v>12432</v>
      </c>
      <c r="D6" s="6">
        <v>15880450100.945997</v>
      </c>
      <c r="E6" s="10">
        <v>22704</v>
      </c>
      <c r="F6" s="6">
        <v>17578741480</v>
      </c>
    </row>
    <row r="7" spans="2:6" ht="21.75" thickBot="1" x14ac:dyDescent="0.3">
      <c r="B7" s="11" t="s">
        <v>9</v>
      </c>
      <c r="C7" s="10">
        <v>6589</v>
      </c>
      <c r="D7" s="7">
        <v>9924090782.0800018</v>
      </c>
      <c r="E7" s="10">
        <v>17641</v>
      </c>
      <c r="F7" s="7">
        <v>12645144670</v>
      </c>
    </row>
    <row r="8" spans="2:6" ht="21.75" thickBot="1" x14ac:dyDescent="0.3">
      <c r="B8" s="3" t="s">
        <v>1</v>
      </c>
      <c r="C8" s="5">
        <f t="shared" ref="C8:F8" si="0">SUM(C3:C7)</f>
        <v>60408</v>
      </c>
      <c r="D8" s="4">
        <f t="shared" si="0"/>
        <v>53737352484.335999</v>
      </c>
      <c r="E8" s="5">
        <f t="shared" si="0"/>
        <v>60121</v>
      </c>
      <c r="F8" s="4">
        <f t="shared" si="0"/>
        <v>43604064415</v>
      </c>
    </row>
    <row r="12" spans="2:6" x14ac:dyDescent="0.25">
      <c r="B12"/>
      <c r="C12"/>
    </row>
    <row r="13" spans="2:6" ht="21.75" thickBot="1" x14ac:dyDescent="0.3">
      <c r="B13"/>
      <c r="C13"/>
    </row>
    <row r="14" spans="2:6" ht="24" thickBot="1" x14ac:dyDescent="0.3">
      <c r="B14"/>
      <c r="C14" s="12" t="s">
        <v>8</v>
      </c>
      <c r="D14" s="13"/>
    </row>
    <row r="15" spans="2:6" ht="24" thickBot="1" x14ac:dyDescent="0.3">
      <c r="B15"/>
      <c r="C15" s="8" t="s">
        <v>2</v>
      </c>
      <c r="D15" s="8" t="s">
        <v>3</v>
      </c>
    </row>
    <row r="16" spans="2:6" ht="21.75" thickBot="1" x14ac:dyDescent="0.3">
      <c r="B16"/>
      <c r="C16" s="5">
        <f>SUM(C8+E8)</f>
        <v>120529</v>
      </c>
      <c r="D16" s="4">
        <f>SUM(D8,F8)</f>
        <v>97341416899.335999</v>
      </c>
    </row>
    <row r="17" spans="2:6" x14ac:dyDescent="0.25">
      <c r="B17"/>
      <c r="C17"/>
    </row>
    <row r="18" spans="2:6" x14ac:dyDescent="0.25">
      <c r="B18"/>
      <c r="C18"/>
    </row>
    <row r="19" spans="2:6" x14ac:dyDescent="0.25">
      <c r="B19"/>
      <c r="C19"/>
    </row>
    <row r="21" spans="2:6" x14ac:dyDescent="0.25">
      <c r="F21"/>
    </row>
    <row r="22" spans="2:6" x14ac:dyDescent="0.25">
      <c r="F22"/>
    </row>
  </sheetData>
  <mergeCells count="1">
    <mergeCell ref="C14:D14"/>
  </mergeCells>
  <pageMargins left="0.75" right="0.75" top="1" bottom="1" header="0.5" footer="0.5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9244a5b-6efd-4ce4-affb-5541593f5106" origin="userSelected">
  <element uid="id_classification_generalbusiness" value=""/>
  <element uid="20e13584-1177-4de9-aa1c-56181d6ae5c9" value=""/>
</sisl>
</file>

<file path=customXml/itemProps1.xml><?xml version="1.0" encoding="utf-8"?>
<ds:datastoreItem xmlns:ds="http://schemas.openxmlformats.org/officeDocument/2006/customXml" ds:itemID="{7F167FFA-20A5-48FE-B636-90C66E464D9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Hamdy Mohamed</cp:lastModifiedBy>
  <dcterms:created xsi:type="dcterms:W3CDTF">2024-12-22T15:42:00Z</dcterms:created>
  <dcterms:modified xsi:type="dcterms:W3CDTF">2026-08-06T08:18:10Z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803f7ca2-6b4f-4b6b-8397-7e29cd30cc42</vt:lpwstr>
  </property>
  <property fmtid="{D5CDD505-2E9C-101B-9397-08002B2CF9AE}" pid="3" name="bjSaver">
    <vt:lpwstr>hiSgxcdoycY5RcdaBFSuMt/3sNN2HRhf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policy="f9244a5b-6efd-4ce4-affb-5541593f5106" origin="userSelected" xmlns="http://www.boldonj</vt:lpwstr>
  </property>
  <property fmtid="{D5CDD505-2E9C-101B-9397-08002B2CF9AE}" pid="5" name="bjDocumentLabelXML-0">
    <vt:lpwstr>ames.com/2008/01/sie/internal/label"&gt;&lt;element uid="id_classification_generalbusiness" value="" /&gt;&lt;element uid="20e13584-1177-4de9-aa1c-56181d6ae5c9" value="" /&gt;&lt;/sisl&gt;</vt:lpwstr>
  </property>
  <property fmtid="{D5CDD505-2E9C-101B-9397-08002B2CF9AE}" pid="6" name="bjDocumentSecurityLabel">
    <vt:lpwstr>[Consumer Operations C1 - Internal]</vt:lpwstr>
  </property>
  <property fmtid="{D5CDD505-2E9C-101B-9397-08002B2CF9AE}" pid="7" name="bjClsUserRVM">
    <vt:lpwstr>[]</vt:lpwstr>
  </property>
</Properties>
</file>